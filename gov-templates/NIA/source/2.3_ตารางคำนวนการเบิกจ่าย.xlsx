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231"/>
  <workbookPr defaultThemeVersion="124226"/>
  <mc:AlternateContent xmlns:mc="http://schemas.openxmlformats.org/markup-compatibility/2006">
    <mc:Choice Requires="x15">
      <x15ac:absPath xmlns:x15ac="http://schemas.microsoft.com/office/spreadsheetml/2010/11/ac" url="U:\02_Coupon\02_Coupon_Admin\1_Contract\เอกสารประกอบการเบิกจ่าย\Open\ปรับปรุงไฟล์เอกสาร\"/>
    </mc:Choice>
  </mc:AlternateContent>
  <xr:revisionPtr revIDLastSave="0" documentId="13_ncr:1_{04DE8EA1-A174-45CC-800A-BE74120DE447}" xr6:coauthVersionLast="40" xr6:coauthVersionMax="40" xr10:uidLastSave="{00000000-0000-0000-0000-000000000000}"/>
  <bookViews>
    <workbookView xWindow="-120" yWindow="-120" windowWidth="20730" windowHeight="11160" activeTab="1" xr2:uid="{00000000-000D-0000-FFFF-FFFF00000000}"/>
  </bookViews>
  <sheets>
    <sheet name="เบิกจ่าย" sheetId="5" r:id="rId1"/>
    <sheet name="วิธีการกรอกข้อมูล" sheetId="6" r:id="rId2"/>
  </sheets>
  <definedNames>
    <definedName name="_xlnm.Print_Titles" localSheetId="0">เบิกจ่าย!$20:$20</definedName>
  </definedNames>
  <calcPr calcId="181029"/>
</workbook>
</file>

<file path=xl/calcChain.xml><?xml version="1.0" encoding="utf-8"?>
<calcChain xmlns="http://schemas.openxmlformats.org/spreadsheetml/2006/main">
  <c r="C17" i="6" l="1"/>
  <c r="F34" i="6" l="1"/>
  <c r="F25" i="6"/>
  <c r="F17" i="6"/>
  <c r="E17" i="6"/>
  <c r="D17" i="6"/>
  <c r="G16" i="6"/>
  <c r="H16" i="6" s="1"/>
  <c r="G15" i="6"/>
  <c r="H15" i="6" s="1"/>
  <c r="G14" i="6"/>
  <c r="H14" i="6" s="1"/>
  <c r="G13" i="6"/>
  <c r="H13" i="6" s="1"/>
  <c r="H12" i="6"/>
  <c r="G12" i="6"/>
  <c r="G11" i="6"/>
  <c r="H11" i="6" s="1"/>
  <c r="G10" i="6"/>
  <c r="F8" i="6"/>
  <c r="E8" i="6"/>
  <c r="D8" i="6"/>
  <c r="B7" i="6"/>
  <c r="F35" i="6" s="1"/>
  <c r="G17" i="6" l="1"/>
  <c r="H17" i="6"/>
  <c r="G35" i="6"/>
  <c r="G11" i="5"/>
  <c r="H11" i="5" s="1"/>
  <c r="G12" i="5"/>
  <c r="H12" i="5" s="1"/>
  <c r="G13" i="5"/>
  <c r="H13" i="5" s="1"/>
  <c r="G14" i="5"/>
  <c r="H14" i="5" s="1"/>
  <c r="G15" i="5"/>
  <c r="G16" i="5"/>
  <c r="G10" i="5"/>
  <c r="H10" i="5" s="1"/>
  <c r="H15" i="5"/>
  <c r="F25" i="5" l="1"/>
  <c r="F34" i="5" l="1"/>
  <c r="D17" i="5" l="1"/>
  <c r="F17" i="5"/>
  <c r="C17" i="5"/>
  <c r="H16" i="5"/>
  <c r="H17" i="5" s="1"/>
  <c r="E17" i="5" l="1"/>
  <c r="G17" i="5" s="1"/>
  <c r="F8" i="5" l="1"/>
  <c r="E8" i="5"/>
  <c r="D8" i="5"/>
  <c r="B7" i="5"/>
  <c r="F35" i="5" s="1"/>
  <c r="G35" i="5" s="1"/>
</calcChain>
</file>

<file path=xl/sharedStrings.xml><?xml version="1.0" encoding="utf-8"?>
<sst xmlns="http://schemas.openxmlformats.org/spreadsheetml/2006/main" count="92" uniqueCount="41">
  <si>
    <t>รายการ</t>
  </si>
  <si>
    <t>ยอดที่เบิกได้</t>
  </si>
  <si>
    <t>รวม</t>
  </si>
  <si>
    <t>คงเหลือเบิกได้</t>
  </si>
  <si>
    <t>รวมเบิกจริง</t>
  </si>
  <si>
    <t>ยอดที่ต้องแสดง 25%</t>
  </si>
  <si>
    <t>รายการใบเสร็จ</t>
  </si>
  <si>
    <t>หมวด</t>
  </si>
  <si>
    <t>เซ็น</t>
  </si>
  <si>
    <t>From</t>
  </si>
  <si>
    <t>จำนวนที่เบิกได้</t>
  </si>
  <si>
    <t>ลำดับที่</t>
  </si>
  <si>
    <t>จำนวนที่แสดง</t>
  </si>
  <si>
    <t>หมดสัญญา</t>
  </si>
  <si>
    <t>งวดที่ 1</t>
  </si>
  <si>
    <t>งวดที่ 2</t>
  </si>
  <si>
    <t>งวดที่ 3 (สุดท้าย)</t>
  </si>
  <si>
    <t>วงเงินสนับสนุน</t>
  </si>
  <si>
    <t>มูลค่าโครงการ</t>
  </si>
  <si>
    <t>อนุมัติ</t>
  </si>
  <si>
    <t xml:space="preserve">โครงการ </t>
  </si>
  <si>
    <t>ใบเสร็จ (ใบ)</t>
  </si>
  <si>
    <t xml:space="preserve">ชื่อผู้รับทุน </t>
  </si>
  <si>
    <t>ที่อยู่</t>
  </si>
  <si>
    <t>เลขทะเบียน</t>
  </si>
  <si>
    <t>วันที่</t>
  </si>
  <si>
    <t>ส่งเอกสาร</t>
  </si>
  <si>
    <t>xxx</t>
  </si>
  <si>
    <t>xx</t>
  </si>
  <si>
    <t>กรอกเดือนเบิกงวด 1</t>
  </si>
  <si>
    <t>กรอกเดือนเบิกงวด 2</t>
  </si>
  <si>
    <t>กรอกเดือนเบิกงวด 3</t>
  </si>
  <si>
    <t>ยอด (รวม VAT)</t>
  </si>
  <si>
    <t>7</t>
  </si>
  <si>
    <t>9</t>
  </si>
  <si>
    <t>10</t>
  </si>
  <si>
    <t>11</t>
  </si>
  <si>
    <t>12</t>
  </si>
  <si>
    <t>13</t>
  </si>
  <si>
    <t>เอกสารแสดง 25% [(สำเนาของต้นฉบับใบเสร็จรับเงิน , สำเนาของต้นฉบับใบเสร็จรับเงิน/ใบกำกับภาษี , สำเนาของต้นฉบับใบสำคัญรับเงิน) ซึ่งรับรองสำเนาพร้อมแล้ว]</t>
  </si>
  <si>
    <t>ใบเสร็จงวดที่ 1  (ต้นฉบับใบเสร็จรับเงินตัวจริง , สำเนาของต้นฉบับใบเสร็จรับเงิน/ใบกำกับภาษี ซึ่งรับรองสำเนาพร้อมประทับตราแล้ว , ต้นฉบับใบสำคัญรับเงินตัวจริง)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</si>
</sst>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87" formatCode="#,##0.00_ ;\-#,##0.00\ "/>
    <numFmt numFmtId="188" formatCode="dd\ mmm\ yy"/>
  </numFmts>
  <fonts count="8">
    <font>
      <sz val="10"/>
      <name val="Arial"/>
      <charset val="222"/>
    </font>
    <font>
      <sz val="11"/>
      <color theme="1"/>
      <name val="Tahoma"/>
      <family val="2"/>
      <charset val="222"/>
      <scheme val="minor"/>
    </font>
    <font>
      <sz val="10"/>
      <name val="Arial"/>
      <family val="2"/>
    </font>
    <font>
      <b/>
      <sz val="14"/>
      <name val="TH SarabunPSK"/>
      <family val="2"/>
    </font>
    <font>
      <sz val="14"/>
      <name val="TH SarabunPSK"/>
      <family val="2"/>
    </font>
    <font>
      <sz val="14"/>
      <color rgb="FFFF0000"/>
      <name val="TH SarabunPSK"/>
      <family val="2"/>
    </font>
    <font>
      <b/>
      <sz val="14"/>
      <color theme="0"/>
      <name val="TH SarabunPSK"/>
      <family val="2"/>
    </font>
    <font>
      <b/>
      <sz val="14"/>
      <color rgb="FFFF0000"/>
      <name val="TH SarabunPSK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7">
    <xf numFmtId="0" fontId="0" fillId="0" borderId="0" xfId="0"/>
    <xf numFmtId="0" fontId="3" fillId="0" borderId="0" xfId="0" applyFont="1" applyAlignment="1">
      <alignment horizontal="left" vertical="top"/>
    </xf>
    <xf numFmtId="4" fontId="3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/>
    </xf>
    <xf numFmtId="4" fontId="4" fillId="0" borderId="0" xfId="0" applyNumberFormat="1" applyFont="1"/>
    <xf numFmtId="4" fontId="3" fillId="0" borderId="0" xfId="0" applyNumberFormat="1" applyFont="1" applyAlignment="1"/>
    <xf numFmtId="0" fontId="3" fillId="0" borderId="0" xfId="0" applyFont="1" applyAlignment="1"/>
    <xf numFmtId="0" fontId="4" fillId="0" borderId="0" xfId="0" applyFont="1"/>
    <xf numFmtId="0" fontId="3" fillId="0" borderId="0" xfId="0" applyFont="1" applyAlignment="1">
      <alignment vertical="top"/>
    </xf>
    <xf numFmtId="187" fontId="4" fillId="0" borderId="0" xfId="1" applyNumberFormat="1" applyFont="1" applyAlignment="1">
      <alignment horizontal="center" vertical="top"/>
    </xf>
    <xf numFmtId="4" fontId="3" fillId="0" borderId="0" xfId="0" applyNumberFormat="1" applyFont="1" applyAlignment="1">
      <alignment vertical="top"/>
    </xf>
    <xf numFmtId="4" fontId="4" fillId="0" borderId="0" xfId="0" applyNumberFormat="1" applyFont="1" applyAlignment="1">
      <alignment vertical="top"/>
    </xf>
    <xf numFmtId="0" fontId="4" fillId="0" borderId="0" xfId="0" applyFont="1" applyAlignment="1">
      <alignment vertical="top"/>
    </xf>
    <xf numFmtId="49" fontId="3" fillId="0" borderId="0" xfId="0" applyNumberFormat="1" applyFont="1" applyAlignment="1">
      <alignment horizontal="center" vertical="top"/>
    </xf>
    <xf numFmtId="4" fontId="3" fillId="0" borderId="0" xfId="1" applyNumberFormat="1" applyFont="1" applyAlignment="1">
      <alignment horizontal="left" vertical="top"/>
    </xf>
    <xf numFmtId="187" fontId="3" fillId="0" borderId="0" xfId="1" applyNumberFormat="1" applyFont="1" applyAlignment="1">
      <alignment horizontal="left" vertical="top"/>
    </xf>
    <xf numFmtId="9" fontId="3" fillId="0" borderId="0" xfId="0" applyNumberFormat="1" applyFont="1" applyAlignment="1">
      <alignment horizontal="right" vertical="top"/>
    </xf>
    <xf numFmtId="49" fontId="3" fillId="0" borderId="0" xfId="0" quotePrefix="1" applyNumberFormat="1" applyFont="1" applyAlignment="1">
      <alignment horizontal="center" vertical="top"/>
    </xf>
    <xf numFmtId="4" fontId="3" fillId="0" borderId="0" xfId="0" applyNumberFormat="1" applyFont="1" applyAlignment="1">
      <alignment horizontal="center" vertical="top"/>
    </xf>
    <xf numFmtId="0" fontId="4" fillId="0" borderId="0" xfId="0" applyFont="1" applyAlignment="1">
      <alignment horizontal="center"/>
    </xf>
    <xf numFmtId="4" fontId="4" fillId="0" borderId="0" xfId="0" applyNumberFormat="1" applyFont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" fontId="3" fillId="0" borderId="6" xfId="0" applyNumberFormat="1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4" fontId="3" fillId="0" borderId="4" xfId="0" applyNumberFormat="1" applyFont="1" applyBorder="1" applyAlignment="1">
      <alignment horizontal="center"/>
    </xf>
    <xf numFmtId="4" fontId="3" fillId="0" borderId="1" xfId="0" applyNumberFormat="1" applyFont="1" applyBorder="1" applyAlignment="1">
      <alignment horizontal="center" vertical="center"/>
    </xf>
    <xf numFmtId="4" fontId="4" fillId="0" borderId="1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4" fontId="4" fillId="0" borderId="3" xfId="0" applyNumberFormat="1" applyFont="1" applyBorder="1" applyAlignment="1">
      <alignment horizontal="center" vertical="center"/>
    </xf>
    <xf numFmtId="4" fontId="3" fillId="0" borderId="3" xfId="0" applyNumberFormat="1" applyFont="1" applyBorder="1" applyAlignment="1">
      <alignment horizontal="center" vertical="center"/>
    </xf>
    <xf numFmtId="4" fontId="5" fillId="0" borderId="0" xfId="0" applyNumberFormat="1" applyFont="1"/>
    <xf numFmtId="0" fontId="3" fillId="0" borderId="7" xfId="0" applyFont="1" applyBorder="1" applyAlignment="1">
      <alignment horizontal="left"/>
    </xf>
    <xf numFmtId="0" fontId="4" fillId="0" borderId="7" xfId="0" applyFont="1" applyBorder="1"/>
    <xf numFmtId="0" fontId="3" fillId="0" borderId="6" xfId="0" applyFont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4" fontId="3" fillId="0" borderId="0" xfId="0" applyNumberFormat="1" applyFont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4" fontId="4" fillId="0" borderId="0" xfId="0" applyNumberFormat="1" applyFont="1" applyAlignment="1"/>
    <xf numFmtId="0" fontId="3" fillId="0" borderId="1" xfId="0" applyFont="1" applyFill="1" applyBorder="1" applyAlignment="1">
      <alignment horizontal="center" vertical="center"/>
    </xf>
    <xf numFmtId="4" fontId="4" fillId="0" borderId="0" xfId="0" applyNumberFormat="1" applyFont="1" applyBorder="1"/>
    <xf numFmtId="4" fontId="4" fillId="0" borderId="0" xfId="0" applyNumberFormat="1" applyFont="1" applyBorder="1" applyAlignment="1">
      <alignment horizontal="center"/>
    </xf>
    <xf numFmtId="0" fontId="4" fillId="0" borderId="0" xfId="0" applyFont="1" applyFill="1"/>
    <xf numFmtId="4" fontId="4" fillId="0" borderId="0" xfId="0" applyNumberFormat="1" applyFont="1" applyFill="1"/>
    <xf numFmtId="4" fontId="4" fillId="0" borderId="0" xfId="0" applyNumberFormat="1" applyFont="1" applyFill="1" applyAlignment="1">
      <alignment horizontal="center"/>
    </xf>
    <xf numFmtId="4" fontId="4" fillId="0" borderId="0" xfId="0" applyNumberFormat="1" applyFont="1" applyBorder="1" applyAlignment="1"/>
    <xf numFmtId="0" fontId="4" fillId="0" borderId="0" xfId="0" applyFont="1" applyFill="1" applyBorder="1" applyAlignment="1">
      <alignment horizontal="center"/>
    </xf>
    <xf numFmtId="3" fontId="4" fillId="0" borderId="0" xfId="0" applyNumberFormat="1" applyFont="1" applyFill="1" applyBorder="1"/>
    <xf numFmtId="4" fontId="4" fillId="0" borderId="0" xfId="0" applyNumberFormat="1" applyFont="1" applyFill="1" applyBorder="1"/>
    <xf numFmtId="0" fontId="3" fillId="0" borderId="8" xfId="0" applyFont="1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5" xfId="0" applyFont="1" applyFill="1" applyBorder="1" applyAlignment="1"/>
    <xf numFmtId="4" fontId="3" fillId="0" borderId="0" xfId="0" applyNumberFormat="1" applyFont="1"/>
    <xf numFmtId="4" fontId="3" fillId="0" borderId="3" xfId="0" applyNumberFormat="1" applyFont="1" applyBorder="1"/>
    <xf numFmtId="0" fontId="3" fillId="0" borderId="4" xfId="0" applyFont="1" applyBorder="1" applyAlignment="1"/>
    <xf numFmtId="4" fontId="3" fillId="0" borderId="1" xfId="0" applyNumberFormat="1" applyFont="1" applyBorder="1"/>
    <xf numFmtId="0" fontId="4" fillId="0" borderId="5" xfId="0" applyNumberFormat="1" applyFont="1" applyFill="1" applyBorder="1" applyAlignment="1">
      <alignment horizontal="center"/>
    </xf>
    <xf numFmtId="0" fontId="4" fillId="0" borderId="0" xfId="0" applyFont="1" applyBorder="1" applyAlignment="1">
      <alignment vertical="center" wrapText="1"/>
    </xf>
    <xf numFmtId="4" fontId="4" fillId="0" borderId="0" xfId="0" applyNumberFormat="1" applyFont="1" applyBorder="1" applyAlignment="1">
      <alignment vertical="center" wrapText="1"/>
    </xf>
    <xf numFmtId="49" fontId="4" fillId="0" borderId="1" xfId="0" applyNumberFormat="1" applyFont="1" applyBorder="1" applyAlignment="1">
      <alignment horizontal="left" vertical="center"/>
    </xf>
    <xf numFmtId="4" fontId="4" fillId="0" borderId="6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left" vertical="center" wrapText="1"/>
    </xf>
    <xf numFmtId="0" fontId="3" fillId="0" borderId="6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4" fontId="4" fillId="0" borderId="1" xfId="0" applyNumberFormat="1" applyFont="1" applyBorder="1" applyAlignment="1">
      <alignment horizontal="right" vertical="center"/>
    </xf>
    <xf numFmtId="4" fontId="4" fillId="0" borderId="0" xfId="0" applyNumberFormat="1" applyFont="1" applyBorder="1" applyAlignment="1">
      <alignment wrapText="1"/>
    </xf>
    <xf numFmtId="188" fontId="3" fillId="0" borderId="0" xfId="0" quotePrefix="1" applyNumberFormat="1" applyFont="1" applyAlignment="1">
      <alignment horizontal="left" vertical="top"/>
    </xf>
    <xf numFmtId="0" fontId="6" fillId="0" borderId="0" xfId="0" applyFont="1" applyAlignment="1">
      <alignment vertical="top"/>
    </xf>
    <xf numFmtId="188" fontId="6" fillId="0" borderId="0" xfId="0" quotePrefix="1" applyNumberFormat="1" applyFont="1" applyAlignment="1">
      <alignment horizontal="left" vertical="top"/>
    </xf>
    <xf numFmtId="188" fontId="3" fillId="0" borderId="1" xfId="0" quotePrefix="1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188" fontId="4" fillId="0" borderId="1" xfId="0" quotePrefix="1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3" fillId="0" borderId="9" xfId="0" applyFont="1" applyFill="1" applyBorder="1" applyAlignment="1">
      <alignment horizontal="center"/>
    </xf>
    <xf numFmtId="4" fontId="4" fillId="0" borderId="1" xfId="0" applyNumberFormat="1" applyFont="1" applyBorder="1" applyAlignment="1">
      <alignment horizontal="center"/>
    </xf>
    <xf numFmtId="4" fontId="4" fillId="0" borderId="6" xfId="0" applyNumberFormat="1" applyFont="1" applyBorder="1" applyAlignment="1">
      <alignment horizontal="right" vertical="center"/>
    </xf>
    <xf numFmtId="0" fontId="4" fillId="0" borderId="2" xfId="0" applyFont="1" applyBorder="1" applyAlignment="1">
      <alignment horizontal="left" vertical="center"/>
    </xf>
    <xf numFmtId="4" fontId="4" fillId="0" borderId="4" xfId="0" applyNumberFormat="1" applyFont="1" applyBorder="1" applyAlignment="1">
      <alignment horizontal="right" vertical="center"/>
    </xf>
    <xf numFmtId="188" fontId="4" fillId="0" borderId="6" xfId="0" quotePrefix="1" applyNumberFormat="1" applyFont="1" applyBorder="1" applyAlignment="1">
      <alignment horizontal="center" vertical="center"/>
    </xf>
    <xf numFmtId="1" fontId="7" fillId="0" borderId="0" xfId="0" applyNumberFormat="1" applyFont="1" applyAlignment="1">
      <alignment horizontal="left" vertical="top"/>
    </xf>
    <xf numFmtId="1" fontId="7" fillId="0" borderId="0" xfId="0" quotePrefix="1" applyNumberFormat="1" applyFont="1" applyAlignment="1">
      <alignment horizontal="left" vertical="top"/>
    </xf>
    <xf numFmtId="1" fontId="7" fillId="0" borderId="0" xfId="1" applyNumberFormat="1" applyFont="1" applyAlignment="1">
      <alignment horizontal="left" vertical="top"/>
    </xf>
    <xf numFmtId="49" fontId="7" fillId="0" borderId="0" xfId="0" applyNumberFormat="1" applyFont="1" applyAlignment="1">
      <alignment horizontal="left" vertical="top"/>
    </xf>
    <xf numFmtId="3" fontId="7" fillId="0" borderId="0" xfId="0" applyNumberFormat="1" applyFont="1" applyAlignment="1">
      <alignment horizontal="left" vertical="top"/>
    </xf>
    <xf numFmtId="49" fontId="7" fillId="0" borderId="0" xfId="0" quotePrefix="1" applyNumberFormat="1" applyFont="1" applyAlignment="1">
      <alignment horizontal="center" vertical="top"/>
    </xf>
    <xf numFmtId="3" fontId="7" fillId="0" borderId="6" xfId="0" applyNumberFormat="1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left" vertical="center"/>
    </xf>
    <xf numFmtId="0" fontId="3" fillId="0" borderId="0" xfId="0" applyFont="1" applyAlignment="1">
      <alignment horizontal="left"/>
    </xf>
    <xf numFmtId="4" fontId="4" fillId="0" borderId="0" xfId="0" applyNumberFormat="1" applyFont="1" applyBorder="1" applyAlignment="1">
      <alignment horizontal="left" wrapText="1"/>
    </xf>
    <xf numFmtId="4" fontId="4" fillId="0" borderId="0" xfId="0" applyNumberFormat="1" applyFont="1" applyBorder="1" applyAlignment="1">
      <alignment horizontal="center" wrapText="1"/>
    </xf>
  </cellXfs>
  <cellStyles count="5">
    <cellStyle name="Comma" xfId="1" builtinId="3"/>
    <cellStyle name="Comma 2" xfId="3" xr:uid="{00000000-0005-0000-0000-000001000000}"/>
    <cellStyle name="Normal" xfId="0" builtinId="0"/>
    <cellStyle name="Normal 2" xfId="2" xr:uid="{00000000-0005-0000-0000-000003000000}"/>
    <cellStyle name="Percent 2" xfId="4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421822</xdr:colOff>
      <xdr:row>1</xdr:row>
      <xdr:rowOff>147206</xdr:rowOff>
    </xdr:from>
    <xdr:to>
      <xdr:col>27</xdr:col>
      <xdr:colOff>517072</xdr:colOff>
      <xdr:row>9</xdr:row>
      <xdr:rowOff>18346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9F8B9CC-BCEA-42D1-B39B-900552ECCA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1" y="419349"/>
          <a:ext cx="7034892" cy="21027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346363</xdr:colOff>
      <xdr:row>1</xdr:row>
      <xdr:rowOff>34636</xdr:rowOff>
    </xdr:from>
    <xdr:to>
      <xdr:col>16</xdr:col>
      <xdr:colOff>86591</xdr:colOff>
      <xdr:row>25</xdr:row>
      <xdr:rowOff>199844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647DDDC-D919-46FC-AAE6-E22E57B97F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84181" y="311727"/>
          <a:ext cx="7516092" cy="6884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421821</xdr:colOff>
      <xdr:row>10</xdr:row>
      <xdr:rowOff>108858</xdr:rowOff>
    </xdr:from>
    <xdr:to>
      <xdr:col>26</xdr:col>
      <xdr:colOff>143719</xdr:colOff>
      <xdr:row>25</xdr:row>
      <xdr:rowOff>176893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259E172-72A5-4144-8E47-B743CEABCF6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b="9050"/>
        <a:stretch/>
      </xdr:blipFill>
      <xdr:spPr>
        <a:xfrm>
          <a:off x="19907250" y="2884715"/>
          <a:ext cx="6049219" cy="41501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43"/>
  <sheetViews>
    <sheetView topLeftCell="A18" zoomScale="70" zoomScaleNormal="70" zoomScaleSheetLayoutView="70" zoomScalePageLayoutView="70" workbookViewId="0">
      <selection activeCell="A27" sqref="A27"/>
    </sheetView>
  </sheetViews>
  <sheetFormatPr defaultRowHeight="21.75"/>
  <cols>
    <col min="1" max="1" width="14" style="20" customWidth="1"/>
    <col min="2" max="2" width="50.42578125" style="8" customWidth="1"/>
    <col min="3" max="3" width="27.140625" style="5" customWidth="1"/>
    <col min="4" max="4" width="16.42578125" style="5" customWidth="1"/>
    <col min="5" max="5" width="15.42578125" style="5" customWidth="1"/>
    <col min="6" max="6" width="15.5703125" style="5" customWidth="1"/>
    <col min="7" max="7" width="18.28515625" style="5" customWidth="1"/>
    <col min="8" max="8" width="17.42578125" style="5" customWidth="1"/>
    <col min="9" max="9" width="19.140625" style="5" customWidth="1"/>
    <col min="10" max="10" width="16.28515625" style="5" bestFit="1" customWidth="1"/>
    <col min="11" max="12" width="13.5703125" style="5" bestFit="1" customWidth="1"/>
    <col min="13" max="13" width="12.5703125" style="5" bestFit="1" customWidth="1"/>
    <col min="14" max="14" width="14" style="5" bestFit="1" customWidth="1"/>
    <col min="15" max="16" width="13.85546875" style="5" customWidth="1"/>
    <col min="17" max="17" width="12.140625" style="8" bestFit="1" customWidth="1"/>
    <col min="18" max="16384" width="9.140625" style="8"/>
  </cols>
  <sheetData>
    <row r="1" spans="1:18">
      <c r="A1" s="1" t="s">
        <v>20</v>
      </c>
      <c r="B1" s="1" t="s">
        <v>27</v>
      </c>
      <c r="C1" s="1"/>
      <c r="D1" s="2" t="s">
        <v>22</v>
      </c>
      <c r="E1" s="3" t="s">
        <v>27</v>
      </c>
      <c r="F1" s="4"/>
      <c r="L1" s="6"/>
      <c r="M1" s="7"/>
      <c r="N1" s="7"/>
      <c r="P1" s="7"/>
      <c r="Q1" s="7"/>
      <c r="R1" s="7"/>
    </row>
    <row r="2" spans="1:18" s="13" customFormat="1" ht="24" customHeight="1">
      <c r="A2" s="9" t="s">
        <v>19</v>
      </c>
      <c r="B2" s="73" t="s">
        <v>28</v>
      </c>
      <c r="C2" s="9"/>
      <c r="D2" s="2" t="s">
        <v>23</v>
      </c>
      <c r="E2" s="2" t="s">
        <v>27</v>
      </c>
      <c r="F2" s="10"/>
      <c r="G2" s="11"/>
      <c r="H2" s="11"/>
      <c r="I2" s="11"/>
      <c r="J2" s="11"/>
      <c r="K2" s="11"/>
      <c r="L2" s="11"/>
      <c r="M2" s="9"/>
      <c r="N2" s="9"/>
      <c r="O2" s="12"/>
      <c r="P2" s="9"/>
      <c r="Q2" s="9"/>
      <c r="R2" s="9"/>
    </row>
    <row r="3" spans="1:18" s="13" customFormat="1" ht="24" customHeight="1">
      <c r="A3" s="9" t="s">
        <v>8</v>
      </c>
      <c r="B3" s="73" t="s">
        <v>28</v>
      </c>
      <c r="C3" s="9"/>
      <c r="D3" s="3" t="s">
        <v>24</v>
      </c>
      <c r="E3" s="3" t="s">
        <v>27</v>
      </c>
      <c r="F3" s="14"/>
      <c r="G3" s="11"/>
      <c r="H3" s="11"/>
      <c r="I3" s="11"/>
      <c r="J3" s="11"/>
      <c r="K3" s="11"/>
      <c r="L3" s="11"/>
      <c r="M3" s="9"/>
      <c r="N3" s="9"/>
      <c r="O3" s="12"/>
      <c r="P3" s="9"/>
      <c r="Q3" s="9"/>
      <c r="R3" s="9"/>
    </row>
    <row r="4" spans="1:18" s="13" customFormat="1">
      <c r="A4" s="9" t="s">
        <v>13</v>
      </c>
      <c r="B4" s="73" t="s">
        <v>28</v>
      </c>
      <c r="C4" s="9"/>
      <c r="D4" s="74" t="s">
        <v>26</v>
      </c>
      <c r="E4" s="75">
        <v>241396</v>
      </c>
      <c r="F4" s="9"/>
      <c r="G4" s="11"/>
      <c r="H4" s="11"/>
      <c r="I4" s="11"/>
      <c r="J4" s="11"/>
      <c r="K4" s="11"/>
      <c r="L4" s="11"/>
      <c r="M4" s="9"/>
      <c r="N4" s="9"/>
      <c r="O4" s="12"/>
      <c r="P4" s="9"/>
      <c r="Q4" s="9"/>
      <c r="R4" s="9"/>
    </row>
    <row r="5" spans="1:18" s="13" customFormat="1">
      <c r="A5" s="3" t="s">
        <v>17</v>
      </c>
      <c r="B5" s="15"/>
      <c r="C5" s="9"/>
      <c r="D5" s="9"/>
      <c r="E5" s="11"/>
      <c r="F5" s="9"/>
      <c r="G5" s="11"/>
      <c r="H5" s="11"/>
      <c r="I5" s="11"/>
      <c r="J5" s="11"/>
      <c r="K5" s="11"/>
      <c r="L5" s="11"/>
      <c r="M5" s="9"/>
      <c r="N5" s="9"/>
      <c r="O5" s="12"/>
      <c r="P5" s="9"/>
      <c r="Q5" s="9"/>
      <c r="R5" s="9"/>
    </row>
    <row r="6" spans="1:18" s="13" customFormat="1">
      <c r="A6" s="3" t="s">
        <v>18</v>
      </c>
      <c r="B6" s="16"/>
      <c r="C6" s="9"/>
      <c r="D6" s="9"/>
      <c r="E6" s="11"/>
      <c r="F6" s="9"/>
      <c r="G6" s="11"/>
      <c r="H6" s="11"/>
      <c r="I6" s="11"/>
      <c r="J6" s="11"/>
      <c r="K6" s="11"/>
      <c r="L6" s="11"/>
      <c r="M6" s="9"/>
      <c r="N6" s="9"/>
      <c r="O6" s="12"/>
      <c r="P6" s="9"/>
      <c r="Q6" s="9"/>
      <c r="R6" s="9"/>
    </row>
    <row r="7" spans="1:18" s="13" customFormat="1">
      <c r="A7" s="17">
        <v>0.25</v>
      </c>
      <c r="B7" s="16">
        <f>B6/4</f>
        <v>0</v>
      </c>
      <c r="C7" s="9"/>
      <c r="D7" s="18" t="s">
        <v>29</v>
      </c>
      <c r="E7" s="18" t="s">
        <v>30</v>
      </c>
      <c r="F7" s="18" t="s">
        <v>31</v>
      </c>
      <c r="G7" s="12"/>
      <c r="H7" s="19"/>
      <c r="I7" s="11"/>
      <c r="J7" s="12"/>
      <c r="K7" s="11"/>
      <c r="L7" s="11"/>
      <c r="M7" s="9"/>
      <c r="N7" s="9"/>
      <c r="O7" s="12"/>
      <c r="P7" s="9"/>
      <c r="Q7" s="9"/>
      <c r="R7" s="9"/>
    </row>
    <row r="8" spans="1:18">
      <c r="D8" s="21">
        <f>B5/4</f>
        <v>0</v>
      </c>
      <c r="E8" s="21">
        <f>B5/2</f>
        <v>0</v>
      </c>
      <c r="F8" s="21">
        <f>B5/4</f>
        <v>0</v>
      </c>
      <c r="H8" s="21"/>
    </row>
    <row r="9" spans="1:18">
      <c r="A9" s="22" t="s">
        <v>7</v>
      </c>
      <c r="B9" s="23" t="s">
        <v>0</v>
      </c>
      <c r="C9" s="24" t="s">
        <v>1</v>
      </c>
      <c r="D9" s="25" t="s">
        <v>14</v>
      </c>
      <c r="E9" s="25" t="s">
        <v>15</v>
      </c>
      <c r="F9" s="25" t="s">
        <v>16</v>
      </c>
      <c r="G9" s="25" t="s">
        <v>4</v>
      </c>
      <c r="H9" s="25" t="s">
        <v>3</v>
      </c>
      <c r="I9" s="8"/>
      <c r="J9" s="8"/>
      <c r="K9" s="8"/>
      <c r="L9" s="8"/>
      <c r="M9" s="8"/>
      <c r="N9" s="8"/>
      <c r="O9" s="8"/>
      <c r="P9" s="8"/>
    </row>
    <row r="10" spans="1:18">
      <c r="A10" s="26"/>
      <c r="B10" s="62"/>
      <c r="C10" s="63"/>
      <c r="D10" s="27"/>
      <c r="E10" s="25"/>
      <c r="F10" s="25"/>
      <c r="G10" s="29">
        <f>SUM(D10:F10)</f>
        <v>0</v>
      </c>
      <c r="H10" s="28">
        <f t="shared" ref="H10:H16" si="0">C10-G10</f>
        <v>0</v>
      </c>
      <c r="I10" s="8"/>
      <c r="J10" s="8"/>
      <c r="K10" s="8"/>
      <c r="L10" s="8"/>
      <c r="M10" s="8"/>
      <c r="N10" s="8"/>
      <c r="O10" s="8"/>
      <c r="P10" s="8"/>
    </row>
    <row r="11" spans="1:18">
      <c r="A11" s="26"/>
      <c r="B11" s="62"/>
      <c r="C11" s="63"/>
      <c r="D11" s="27"/>
      <c r="E11" s="25"/>
      <c r="F11" s="25"/>
      <c r="G11" s="29">
        <f t="shared" ref="G11:G16" si="1">SUM(D11:F11)</f>
        <v>0</v>
      </c>
      <c r="H11" s="28">
        <f t="shared" si="0"/>
        <v>0</v>
      </c>
      <c r="I11" s="8"/>
      <c r="J11" s="8"/>
      <c r="K11" s="8"/>
      <c r="L11" s="8"/>
      <c r="M11" s="8"/>
      <c r="N11" s="8"/>
      <c r="O11" s="8"/>
      <c r="P11" s="8"/>
    </row>
    <row r="12" spans="1:18">
      <c r="A12" s="26"/>
      <c r="B12" s="62"/>
      <c r="C12" s="63"/>
      <c r="D12" s="27"/>
      <c r="E12" s="25"/>
      <c r="F12" s="25"/>
      <c r="G12" s="29">
        <f t="shared" si="1"/>
        <v>0</v>
      </c>
      <c r="H12" s="28">
        <f t="shared" si="0"/>
        <v>0</v>
      </c>
      <c r="I12" s="8"/>
      <c r="J12" s="8"/>
      <c r="K12" s="8"/>
      <c r="L12" s="8"/>
      <c r="M12" s="8"/>
      <c r="N12" s="8"/>
      <c r="O12" s="8"/>
      <c r="P12" s="8"/>
    </row>
    <row r="13" spans="1:18">
      <c r="A13" s="26"/>
      <c r="B13" s="62"/>
      <c r="C13" s="63"/>
      <c r="D13" s="27"/>
      <c r="E13" s="25"/>
      <c r="F13" s="25"/>
      <c r="G13" s="29">
        <f t="shared" si="1"/>
        <v>0</v>
      </c>
      <c r="H13" s="28">
        <f t="shared" si="0"/>
        <v>0</v>
      </c>
      <c r="I13" s="8"/>
      <c r="J13" s="8"/>
      <c r="K13" s="8"/>
      <c r="L13" s="8"/>
      <c r="M13" s="8"/>
      <c r="N13" s="8"/>
      <c r="O13" s="8"/>
      <c r="P13" s="8"/>
    </row>
    <row r="14" spans="1:18">
      <c r="A14" s="26"/>
      <c r="B14" s="62"/>
      <c r="C14" s="63"/>
      <c r="D14" s="27"/>
      <c r="E14" s="25"/>
      <c r="F14" s="25"/>
      <c r="G14" s="29">
        <f t="shared" si="1"/>
        <v>0</v>
      </c>
      <c r="H14" s="28">
        <f t="shared" si="0"/>
        <v>0</v>
      </c>
      <c r="I14" s="8"/>
      <c r="J14" s="8"/>
      <c r="K14" s="8"/>
      <c r="L14" s="8"/>
      <c r="M14" s="8"/>
      <c r="N14" s="8"/>
      <c r="O14" s="8"/>
      <c r="P14" s="8"/>
    </row>
    <row r="15" spans="1:18">
      <c r="A15" s="26"/>
      <c r="B15" s="62"/>
      <c r="C15" s="63"/>
      <c r="D15" s="27"/>
      <c r="E15" s="25"/>
      <c r="F15" s="25"/>
      <c r="G15" s="29">
        <f t="shared" si="1"/>
        <v>0</v>
      </c>
      <c r="H15" s="28">
        <f t="shared" si="0"/>
        <v>0</v>
      </c>
      <c r="I15" s="8"/>
      <c r="J15" s="8"/>
      <c r="K15" s="8"/>
      <c r="L15" s="8"/>
      <c r="M15" s="8"/>
      <c r="N15" s="8"/>
      <c r="O15" s="8"/>
      <c r="P15" s="8"/>
    </row>
    <row r="16" spans="1:18">
      <c r="A16" s="26"/>
      <c r="B16" s="64"/>
      <c r="C16" s="63"/>
      <c r="D16" s="27"/>
      <c r="E16" s="25"/>
      <c r="F16" s="25"/>
      <c r="G16" s="29">
        <f t="shared" si="1"/>
        <v>0</v>
      </c>
      <c r="H16" s="28">
        <f t="shared" si="0"/>
        <v>0</v>
      </c>
      <c r="I16" s="8"/>
      <c r="J16" s="8"/>
      <c r="K16" s="8"/>
      <c r="L16" s="8"/>
      <c r="M16" s="8"/>
      <c r="N16" s="8"/>
      <c r="O16" s="8"/>
      <c r="P16" s="8"/>
    </row>
    <row r="17" spans="1:19">
      <c r="A17" s="30"/>
      <c r="B17" s="31" t="s">
        <v>2</v>
      </c>
      <c r="C17" s="29">
        <f>SUM(C10:C16)</f>
        <v>0</v>
      </c>
      <c r="D17" s="32">
        <f>SUM(D10:D16)</f>
        <v>0</v>
      </c>
      <c r="E17" s="32">
        <f>SUM(E10:E16)</f>
        <v>0</v>
      </c>
      <c r="F17" s="32">
        <f>SUM(F10:F16)</f>
        <v>0</v>
      </c>
      <c r="G17" s="32">
        <f>SUM(D17:F17)</f>
        <v>0</v>
      </c>
      <c r="H17" s="33">
        <f>SUM(H10:H16)</f>
        <v>0</v>
      </c>
      <c r="P17" s="8"/>
    </row>
    <row r="18" spans="1:19">
      <c r="A18" s="30"/>
      <c r="D18" s="34"/>
      <c r="E18" s="34"/>
    </row>
    <row r="19" spans="1:19">
      <c r="A19" s="35" t="s">
        <v>40</v>
      </c>
      <c r="B19" s="36"/>
    </row>
    <row r="20" spans="1:19">
      <c r="A20" s="37" t="s">
        <v>7</v>
      </c>
      <c r="B20" s="37" t="s">
        <v>6</v>
      </c>
      <c r="C20" s="37" t="s">
        <v>9</v>
      </c>
      <c r="D20" s="37" t="s">
        <v>25</v>
      </c>
      <c r="E20" s="24" t="s">
        <v>32</v>
      </c>
      <c r="F20" s="24" t="s">
        <v>10</v>
      </c>
      <c r="G20" s="80" t="s">
        <v>21</v>
      </c>
      <c r="H20" s="43"/>
      <c r="I20" s="43"/>
      <c r="J20" s="38"/>
      <c r="K20" s="39"/>
      <c r="M20" s="8"/>
      <c r="N20" s="8"/>
      <c r="O20" s="8"/>
      <c r="P20" s="8"/>
    </row>
    <row r="21" spans="1:19">
      <c r="A21" s="77"/>
      <c r="B21" s="67"/>
      <c r="C21" s="70"/>
      <c r="D21" s="78"/>
      <c r="E21" s="71"/>
      <c r="F21" s="71"/>
      <c r="G21" s="79"/>
      <c r="H21" s="95"/>
      <c r="I21" s="95"/>
      <c r="J21" s="72"/>
      <c r="K21" s="43"/>
      <c r="L21" s="43"/>
      <c r="M21" s="49"/>
      <c r="N21" s="50"/>
      <c r="O21" s="51"/>
      <c r="P21" s="50"/>
      <c r="Q21" s="5"/>
    </row>
    <row r="22" spans="1:19" s="65" customFormat="1">
      <c r="A22" s="77"/>
      <c r="B22" s="68"/>
      <c r="C22" s="69"/>
      <c r="D22" s="78"/>
      <c r="E22" s="71"/>
      <c r="F22" s="71"/>
      <c r="G22" s="79"/>
      <c r="H22" s="95"/>
      <c r="I22" s="95"/>
      <c r="J22" s="72"/>
      <c r="K22" s="66"/>
      <c r="L22" s="66"/>
      <c r="M22" s="66"/>
      <c r="N22" s="66"/>
      <c r="O22" s="66"/>
      <c r="P22" s="66"/>
      <c r="Q22" s="66"/>
      <c r="R22" s="66"/>
      <c r="S22" s="66"/>
    </row>
    <row r="23" spans="1:19" s="65" customFormat="1">
      <c r="A23" s="77"/>
      <c r="B23" s="67"/>
      <c r="C23" s="70"/>
      <c r="D23" s="85"/>
      <c r="E23" s="82"/>
      <c r="F23" s="71"/>
      <c r="G23" s="77"/>
      <c r="H23" s="95"/>
      <c r="I23" s="95"/>
      <c r="J23" s="72"/>
      <c r="K23" s="66"/>
      <c r="L23" s="66"/>
      <c r="M23" s="66"/>
      <c r="N23" s="66"/>
      <c r="O23" s="66"/>
      <c r="P23" s="66"/>
      <c r="Q23" s="66"/>
      <c r="R23" s="66"/>
      <c r="S23" s="66"/>
    </row>
    <row r="24" spans="1:19" s="66" customFormat="1">
      <c r="A24" s="42"/>
      <c r="B24" s="67"/>
      <c r="C24" s="83"/>
      <c r="D24" s="76"/>
      <c r="E24" s="71"/>
      <c r="F24" s="84"/>
      <c r="G24" s="42"/>
      <c r="H24" s="96"/>
      <c r="I24" s="96"/>
      <c r="J24" s="72"/>
    </row>
    <row r="25" spans="1:19">
      <c r="A25" s="30"/>
      <c r="B25" s="31" t="s">
        <v>2</v>
      </c>
      <c r="C25" s="43"/>
      <c r="D25" s="43"/>
      <c r="E25" s="39"/>
      <c r="F25" s="81">
        <f>SUM(F21:F24)</f>
        <v>0</v>
      </c>
      <c r="G25" s="43"/>
      <c r="H25" s="43"/>
      <c r="I25" s="38"/>
      <c r="J25" s="44"/>
      <c r="L25" s="38"/>
      <c r="M25" s="38"/>
      <c r="N25" s="38"/>
      <c r="O25" s="38"/>
      <c r="P25" s="38"/>
    </row>
    <row r="26" spans="1:19">
      <c r="B26" s="30"/>
      <c r="C26" s="43"/>
      <c r="E26" s="44"/>
      <c r="F26" s="44"/>
      <c r="G26" s="43"/>
      <c r="L26" s="44"/>
      <c r="N26" s="8"/>
      <c r="O26" s="8"/>
      <c r="P26" s="8"/>
    </row>
    <row r="27" spans="1:19">
      <c r="A27" s="94" t="s">
        <v>39</v>
      </c>
      <c r="B27" s="45"/>
      <c r="C27" s="46"/>
      <c r="D27" s="46"/>
      <c r="E27" s="46"/>
      <c r="F27" s="47"/>
      <c r="G27" s="41"/>
      <c r="H27" s="48"/>
      <c r="I27" s="43"/>
      <c r="J27" s="43"/>
      <c r="K27" s="43"/>
      <c r="M27" s="44"/>
      <c r="O27" s="8"/>
      <c r="P27" s="8"/>
    </row>
    <row r="28" spans="1:19">
      <c r="A28" s="40" t="s">
        <v>11</v>
      </c>
      <c r="B28" s="40" t="s">
        <v>0</v>
      </c>
      <c r="C28" s="23" t="s">
        <v>9</v>
      </c>
      <c r="D28" s="37" t="s">
        <v>25</v>
      </c>
      <c r="E28" s="24" t="s">
        <v>32</v>
      </c>
      <c r="F28" s="25" t="s">
        <v>12</v>
      </c>
      <c r="G28" s="40" t="s">
        <v>21</v>
      </c>
      <c r="H28" s="48"/>
      <c r="I28" s="48"/>
      <c r="J28" s="43"/>
      <c r="K28" s="43"/>
      <c r="L28" s="43"/>
      <c r="M28" s="49"/>
      <c r="N28" s="50"/>
      <c r="O28" s="51"/>
      <c r="P28" s="50"/>
      <c r="Q28" s="5"/>
    </row>
    <row r="29" spans="1:19">
      <c r="A29" s="42"/>
      <c r="B29" s="67"/>
      <c r="C29" s="70"/>
      <c r="D29" s="76"/>
      <c r="E29" s="71"/>
      <c r="F29" s="71"/>
      <c r="G29" s="42"/>
      <c r="H29" s="72"/>
      <c r="I29" s="72"/>
      <c r="J29" s="43"/>
      <c r="K29" s="43"/>
      <c r="L29" s="43"/>
      <c r="M29" s="49"/>
      <c r="N29" s="50"/>
      <c r="O29" s="51"/>
      <c r="P29" s="50"/>
      <c r="Q29" s="5"/>
    </row>
    <row r="30" spans="1:19">
      <c r="A30" s="42"/>
      <c r="B30" s="68"/>
      <c r="C30" s="69"/>
      <c r="D30" s="76"/>
      <c r="E30" s="71"/>
      <c r="F30" s="71"/>
      <c r="G30" s="40"/>
      <c r="H30" s="72"/>
      <c r="I30" s="72"/>
      <c r="J30" s="72"/>
      <c r="K30" s="43"/>
      <c r="L30" s="43"/>
      <c r="M30" s="49"/>
      <c r="N30" s="50"/>
      <c r="O30" s="51"/>
      <c r="P30" s="50"/>
      <c r="Q30" s="5"/>
    </row>
    <row r="31" spans="1:19">
      <c r="A31" s="42"/>
      <c r="B31" s="67"/>
      <c r="C31" s="70"/>
      <c r="D31" s="76"/>
      <c r="E31" s="71"/>
      <c r="F31" s="71"/>
      <c r="G31" s="40"/>
      <c r="H31" s="72"/>
      <c r="I31" s="72"/>
      <c r="J31" s="43"/>
      <c r="K31" s="43"/>
      <c r="L31" s="43"/>
      <c r="M31" s="49"/>
      <c r="N31" s="50"/>
      <c r="O31" s="51"/>
      <c r="P31" s="50"/>
      <c r="Q31" s="5"/>
    </row>
    <row r="32" spans="1:19">
      <c r="A32" s="40"/>
      <c r="B32" s="67"/>
      <c r="C32" s="70"/>
      <c r="D32" s="76"/>
      <c r="E32" s="71"/>
      <c r="F32" s="71"/>
      <c r="G32" s="40"/>
      <c r="H32" s="72"/>
      <c r="I32" s="72"/>
      <c r="J32" s="43"/>
      <c r="K32" s="43"/>
      <c r="L32" s="43"/>
      <c r="M32" s="49"/>
      <c r="N32" s="50"/>
      <c r="O32" s="51"/>
      <c r="P32" s="50"/>
      <c r="Q32" s="5"/>
    </row>
    <row r="33" spans="1:17">
      <c r="A33" s="40"/>
      <c r="B33" s="67"/>
      <c r="C33" s="70"/>
      <c r="D33" s="76"/>
      <c r="E33" s="71"/>
      <c r="F33" s="71"/>
      <c r="G33" s="40"/>
      <c r="H33" s="72"/>
      <c r="I33" s="72"/>
      <c r="J33" s="43"/>
      <c r="K33" s="43"/>
      <c r="L33" s="43"/>
      <c r="M33" s="49"/>
      <c r="N33" s="50"/>
      <c r="O33" s="51"/>
      <c r="P33" s="50"/>
      <c r="Q33" s="5"/>
    </row>
    <row r="34" spans="1:17">
      <c r="A34" s="52"/>
      <c r="B34" s="53" t="s">
        <v>2</v>
      </c>
      <c r="C34" s="54"/>
      <c r="D34" s="55"/>
      <c r="F34" s="56">
        <f>SUM(F29:F33)</f>
        <v>0</v>
      </c>
      <c r="G34" s="55"/>
      <c r="H34" s="41"/>
      <c r="I34" s="43"/>
      <c r="J34" s="43"/>
      <c r="K34" s="43"/>
      <c r="L34" s="49"/>
      <c r="M34" s="50"/>
      <c r="N34" s="51"/>
      <c r="O34" s="50"/>
    </row>
    <row r="35" spans="1:17">
      <c r="A35" s="52"/>
      <c r="B35" s="57" t="s">
        <v>5</v>
      </c>
      <c r="F35" s="58">
        <f>B7</f>
        <v>0</v>
      </c>
      <c r="G35" s="59" t="str">
        <f>IF(F34&gt;=F35,"OK","NO")</f>
        <v>OK</v>
      </c>
      <c r="H35" s="61"/>
      <c r="I35" s="43"/>
      <c r="J35" s="43"/>
      <c r="K35" s="43"/>
      <c r="P35" s="8"/>
    </row>
    <row r="36" spans="1:17">
      <c r="A36" s="30"/>
      <c r="G36" s="61"/>
      <c r="H36" s="43"/>
      <c r="I36" s="43"/>
      <c r="J36" s="43"/>
      <c r="K36" s="43"/>
      <c r="P36" s="8"/>
    </row>
    <row r="37" spans="1:17">
      <c r="A37" s="30"/>
      <c r="G37" s="60"/>
      <c r="H37" s="43"/>
      <c r="P37" s="8"/>
    </row>
    <row r="38" spans="1:17">
      <c r="A38" s="30"/>
      <c r="G38" s="60"/>
      <c r="H38" s="43"/>
      <c r="P38" s="8"/>
    </row>
    <row r="39" spans="1:17">
      <c r="A39" s="30"/>
      <c r="G39" s="43"/>
      <c r="H39" s="43"/>
      <c r="P39" s="8"/>
    </row>
    <row r="40" spans="1:17">
      <c r="A40" s="30"/>
      <c r="G40" s="51"/>
      <c r="H40" s="43"/>
      <c r="I40" s="43"/>
    </row>
    <row r="41" spans="1:17">
      <c r="G41" s="51"/>
      <c r="H41" s="43"/>
      <c r="I41" s="43"/>
    </row>
    <row r="42" spans="1:17">
      <c r="H42" s="43"/>
      <c r="I42" s="43"/>
    </row>
    <row r="43" spans="1:17">
      <c r="H43" s="43"/>
      <c r="I43" s="43"/>
    </row>
  </sheetData>
  <mergeCells count="4">
    <mergeCell ref="H21:I21"/>
    <mergeCell ref="H22:I22"/>
    <mergeCell ref="H23:I23"/>
    <mergeCell ref="H24:I24"/>
  </mergeCells>
  <pageMargins left="0.74803149606299213" right="0.74803149606299213" top="0.19685039370078741" bottom="0" header="0.51181102362204722" footer="0.51181102362204722"/>
  <pageSetup paperSize="9" scale="76" fitToHeight="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7D5A3-32E8-4E9A-BC78-89D3A50D98D9}">
  <dimension ref="A1:R43"/>
  <sheetViews>
    <sheetView tabSelected="1" topLeftCell="A8" zoomScale="70" zoomScaleNormal="70" workbookViewId="0">
      <selection activeCell="C18" sqref="C18"/>
    </sheetView>
  </sheetViews>
  <sheetFormatPr defaultRowHeight="21.75"/>
  <cols>
    <col min="1" max="1" width="14" style="20" customWidth="1"/>
    <col min="2" max="2" width="50.42578125" style="8" customWidth="1"/>
    <col min="3" max="3" width="27.140625" style="5" customWidth="1"/>
    <col min="4" max="4" width="16.42578125" style="5" customWidth="1"/>
    <col min="5" max="5" width="15.42578125" style="5" customWidth="1"/>
    <col min="6" max="6" width="15.5703125" style="5" customWidth="1"/>
    <col min="7" max="7" width="18.28515625" style="5" customWidth="1"/>
    <col min="8" max="8" width="17.42578125" style="5" customWidth="1"/>
    <col min="9" max="9" width="19.140625" style="5" customWidth="1"/>
    <col min="10" max="10" width="16.28515625" style="5" bestFit="1" customWidth="1"/>
    <col min="11" max="12" width="13.5703125" style="5" bestFit="1" customWidth="1"/>
    <col min="13" max="13" width="12.5703125" style="5" bestFit="1" customWidth="1"/>
    <col min="14" max="14" width="14" style="5" bestFit="1" customWidth="1"/>
    <col min="15" max="16" width="13.85546875" style="5" customWidth="1"/>
    <col min="17" max="17" width="12.140625" style="8" bestFit="1" customWidth="1"/>
    <col min="18" max="16384" width="9.140625" style="8"/>
  </cols>
  <sheetData>
    <row r="1" spans="1:18">
      <c r="A1" s="1" t="s">
        <v>20</v>
      </c>
      <c r="B1" s="86">
        <v>1</v>
      </c>
      <c r="C1" s="1"/>
      <c r="D1" s="2" t="s">
        <v>22</v>
      </c>
      <c r="E1" s="89" t="s">
        <v>33</v>
      </c>
      <c r="F1" s="4"/>
      <c r="L1" s="6"/>
      <c r="M1" s="7"/>
      <c r="N1" s="7"/>
      <c r="P1" s="7"/>
      <c r="Q1" s="7"/>
      <c r="R1" s="7"/>
    </row>
    <row r="2" spans="1:18" s="13" customFormat="1" ht="24" customHeight="1">
      <c r="A2" s="9" t="s">
        <v>19</v>
      </c>
      <c r="B2" s="87">
        <v>2</v>
      </c>
      <c r="C2" s="9"/>
      <c r="D2" s="2" t="s">
        <v>23</v>
      </c>
      <c r="E2" s="90">
        <v>8</v>
      </c>
      <c r="F2" s="10"/>
      <c r="G2" s="11"/>
      <c r="H2" s="11"/>
      <c r="I2" s="11"/>
      <c r="J2" s="11"/>
      <c r="K2" s="11"/>
      <c r="L2" s="11"/>
      <c r="M2" s="9"/>
      <c r="N2" s="9"/>
      <c r="O2" s="12"/>
      <c r="P2" s="9"/>
      <c r="Q2" s="9"/>
      <c r="R2" s="9"/>
    </row>
    <row r="3" spans="1:18" s="13" customFormat="1" ht="24" customHeight="1">
      <c r="A3" s="9" t="s">
        <v>8</v>
      </c>
      <c r="B3" s="87">
        <v>3</v>
      </c>
      <c r="C3" s="9"/>
      <c r="D3" s="3" t="s">
        <v>24</v>
      </c>
      <c r="E3" s="89" t="s">
        <v>34</v>
      </c>
      <c r="F3" s="14"/>
      <c r="G3" s="11"/>
      <c r="H3" s="11"/>
      <c r="I3" s="11"/>
      <c r="J3" s="11"/>
      <c r="K3" s="11"/>
      <c r="L3" s="11"/>
      <c r="M3" s="9"/>
      <c r="N3" s="9"/>
      <c r="O3" s="12"/>
      <c r="P3" s="9"/>
      <c r="Q3" s="9"/>
      <c r="R3" s="9"/>
    </row>
    <row r="4" spans="1:18" s="13" customFormat="1">
      <c r="A4" s="9" t="s">
        <v>13</v>
      </c>
      <c r="B4" s="87">
        <v>4</v>
      </c>
      <c r="C4" s="9"/>
      <c r="D4" s="74" t="s">
        <v>26</v>
      </c>
      <c r="E4" s="75">
        <v>241396</v>
      </c>
      <c r="F4" s="9"/>
      <c r="G4" s="11"/>
      <c r="H4" s="11"/>
      <c r="I4" s="11"/>
      <c r="J4" s="11"/>
      <c r="K4" s="11"/>
      <c r="L4" s="11"/>
      <c r="M4" s="9"/>
      <c r="N4" s="9"/>
      <c r="O4" s="12"/>
      <c r="P4" s="9"/>
      <c r="Q4" s="9"/>
      <c r="R4" s="9"/>
    </row>
    <row r="5" spans="1:18" s="13" customFormat="1">
      <c r="A5" s="3" t="s">
        <v>17</v>
      </c>
      <c r="B5" s="88">
        <v>5</v>
      </c>
      <c r="C5" s="9"/>
      <c r="D5" s="9"/>
      <c r="E5" s="11"/>
      <c r="F5" s="9"/>
      <c r="G5" s="11"/>
      <c r="H5" s="11"/>
      <c r="I5" s="11"/>
      <c r="J5" s="11"/>
      <c r="K5" s="11"/>
      <c r="L5" s="11"/>
      <c r="M5" s="9"/>
      <c r="N5" s="9"/>
      <c r="O5" s="12"/>
      <c r="P5" s="9"/>
      <c r="Q5" s="9"/>
      <c r="R5" s="9"/>
    </row>
    <row r="6" spans="1:18" s="13" customFormat="1">
      <c r="A6" s="3" t="s">
        <v>18</v>
      </c>
      <c r="B6" s="88">
        <v>6</v>
      </c>
      <c r="C6" s="9"/>
      <c r="D6" s="9"/>
      <c r="E6" s="11"/>
      <c r="F6" s="9"/>
      <c r="G6" s="11"/>
      <c r="H6" s="11"/>
      <c r="I6" s="11"/>
      <c r="J6" s="11"/>
      <c r="K6" s="11"/>
      <c r="L6" s="11"/>
      <c r="M6" s="9"/>
      <c r="N6" s="9"/>
      <c r="O6" s="12"/>
      <c r="P6" s="9"/>
      <c r="Q6" s="9"/>
      <c r="R6" s="9"/>
    </row>
    <row r="7" spans="1:18" s="13" customFormat="1">
      <c r="A7" s="17">
        <v>0.25</v>
      </c>
      <c r="B7" s="16">
        <f>B6/4</f>
        <v>1.5</v>
      </c>
      <c r="C7" s="9"/>
      <c r="D7" s="91" t="s">
        <v>35</v>
      </c>
      <c r="E7" s="91" t="s">
        <v>36</v>
      </c>
      <c r="F7" s="91" t="s">
        <v>37</v>
      </c>
      <c r="G7" s="12"/>
      <c r="H7" s="19"/>
      <c r="I7" s="11"/>
      <c r="J7" s="12"/>
      <c r="K7" s="11"/>
      <c r="L7" s="11"/>
      <c r="M7" s="9"/>
      <c r="N7" s="9"/>
      <c r="O7" s="12"/>
      <c r="P7" s="9"/>
      <c r="Q7" s="9"/>
      <c r="R7" s="9"/>
    </row>
    <row r="8" spans="1:18">
      <c r="D8" s="21">
        <f>B5/4</f>
        <v>1.25</v>
      </c>
      <c r="E8" s="21">
        <f>B5/2</f>
        <v>2.5</v>
      </c>
      <c r="F8" s="21">
        <f>B5/4</f>
        <v>1.25</v>
      </c>
      <c r="H8" s="21"/>
    </row>
    <row r="9" spans="1:18">
      <c r="A9" s="22" t="s">
        <v>7</v>
      </c>
      <c r="B9" s="23" t="s">
        <v>0</v>
      </c>
      <c r="C9" s="24" t="s">
        <v>1</v>
      </c>
      <c r="D9" s="25" t="s">
        <v>14</v>
      </c>
      <c r="E9" s="25" t="s">
        <v>15</v>
      </c>
      <c r="F9" s="25" t="s">
        <v>16</v>
      </c>
      <c r="G9" s="25" t="s">
        <v>4</v>
      </c>
      <c r="H9" s="25" t="s">
        <v>3</v>
      </c>
      <c r="I9" s="8"/>
      <c r="J9" s="8"/>
      <c r="K9" s="8"/>
      <c r="L9" s="8"/>
      <c r="M9" s="8"/>
      <c r="N9" s="8"/>
      <c r="O9" s="8"/>
      <c r="P9" s="8"/>
    </row>
    <row r="10" spans="1:18">
      <c r="A10" s="26"/>
      <c r="B10" s="93" t="s">
        <v>38</v>
      </c>
      <c r="C10" s="92">
        <v>14</v>
      </c>
      <c r="D10" s="27"/>
      <c r="E10" s="25"/>
      <c r="F10" s="25"/>
      <c r="G10" s="29">
        <f>SUM(D10:F10)</f>
        <v>0</v>
      </c>
      <c r="H10" s="28">
        <v>0</v>
      </c>
      <c r="I10" s="8"/>
      <c r="J10" s="8"/>
      <c r="K10" s="8"/>
      <c r="L10" s="8"/>
      <c r="M10" s="8"/>
      <c r="N10" s="8"/>
      <c r="O10" s="8"/>
      <c r="P10" s="8"/>
    </row>
    <row r="11" spans="1:18">
      <c r="A11" s="26"/>
      <c r="B11" s="62"/>
      <c r="C11" s="63"/>
      <c r="D11" s="27"/>
      <c r="E11" s="25"/>
      <c r="F11" s="25"/>
      <c r="G11" s="29">
        <f t="shared" ref="G11:G16" si="0">SUM(D11:F11)</f>
        <v>0</v>
      </c>
      <c r="H11" s="28">
        <f t="shared" ref="H10:H16" si="1">C11-G11</f>
        <v>0</v>
      </c>
      <c r="I11" s="8"/>
      <c r="J11" s="8"/>
      <c r="K11" s="8"/>
      <c r="L11" s="8"/>
      <c r="M11" s="8"/>
      <c r="N11" s="8"/>
      <c r="O11" s="8"/>
      <c r="P11" s="8"/>
    </row>
    <row r="12" spans="1:18">
      <c r="A12" s="26"/>
      <c r="B12" s="62"/>
      <c r="C12" s="63"/>
      <c r="D12" s="27"/>
      <c r="E12" s="25"/>
      <c r="F12" s="25"/>
      <c r="G12" s="29">
        <f t="shared" si="0"/>
        <v>0</v>
      </c>
      <c r="H12" s="28">
        <f t="shared" si="1"/>
        <v>0</v>
      </c>
      <c r="I12" s="8"/>
      <c r="J12" s="8"/>
      <c r="K12" s="8"/>
      <c r="L12" s="8"/>
      <c r="M12" s="8"/>
      <c r="N12" s="8"/>
      <c r="O12" s="8"/>
      <c r="P12" s="8"/>
    </row>
    <row r="13" spans="1:18">
      <c r="A13" s="26"/>
      <c r="B13" s="62"/>
      <c r="C13" s="63"/>
      <c r="D13" s="27"/>
      <c r="E13" s="25"/>
      <c r="F13" s="25"/>
      <c r="G13" s="29">
        <f t="shared" si="0"/>
        <v>0</v>
      </c>
      <c r="H13" s="28">
        <f t="shared" si="1"/>
        <v>0</v>
      </c>
      <c r="I13" s="8"/>
      <c r="J13" s="8"/>
      <c r="K13" s="8"/>
      <c r="L13" s="8"/>
      <c r="M13" s="8"/>
      <c r="N13" s="8"/>
      <c r="O13" s="8"/>
      <c r="P13" s="8"/>
    </row>
    <row r="14" spans="1:18">
      <c r="A14" s="26"/>
      <c r="B14" s="62"/>
      <c r="C14" s="63"/>
      <c r="D14" s="27"/>
      <c r="E14" s="25"/>
      <c r="F14" s="25"/>
      <c r="G14" s="29">
        <f t="shared" si="0"/>
        <v>0</v>
      </c>
      <c r="H14" s="28">
        <f t="shared" si="1"/>
        <v>0</v>
      </c>
      <c r="I14" s="8"/>
      <c r="J14" s="8"/>
      <c r="K14" s="8"/>
      <c r="L14" s="8"/>
      <c r="M14" s="8"/>
      <c r="N14" s="8"/>
      <c r="O14" s="8"/>
      <c r="P14" s="8"/>
    </row>
    <row r="15" spans="1:18">
      <c r="A15" s="26"/>
      <c r="B15" s="62"/>
      <c r="C15" s="63"/>
      <c r="D15" s="27"/>
      <c r="E15" s="25"/>
      <c r="F15" s="25"/>
      <c r="G15" s="29">
        <f t="shared" si="0"/>
        <v>0</v>
      </c>
      <c r="H15" s="28">
        <f t="shared" si="1"/>
        <v>0</v>
      </c>
      <c r="I15" s="8"/>
      <c r="J15" s="8"/>
      <c r="K15" s="8"/>
      <c r="L15" s="8"/>
      <c r="M15" s="8"/>
      <c r="N15" s="8"/>
      <c r="O15" s="8"/>
      <c r="P15" s="8"/>
    </row>
    <row r="16" spans="1:18">
      <c r="A16" s="26"/>
      <c r="B16" s="64"/>
      <c r="C16" s="63"/>
      <c r="D16" s="27"/>
      <c r="E16" s="25"/>
      <c r="F16" s="25"/>
      <c r="G16" s="29">
        <f t="shared" si="0"/>
        <v>0</v>
      </c>
      <c r="H16" s="28">
        <f t="shared" si="1"/>
        <v>0</v>
      </c>
      <c r="I16" s="8"/>
      <c r="J16" s="8"/>
      <c r="K16" s="8"/>
      <c r="L16" s="8"/>
      <c r="M16" s="8"/>
      <c r="N16" s="8"/>
      <c r="O16" s="8"/>
      <c r="P16" s="8"/>
    </row>
    <row r="17" spans="1:17">
      <c r="A17" s="30"/>
      <c r="B17" s="31" t="s">
        <v>2</v>
      </c>
      <c r="C17" s="29">
        <f>SUM(C11:C16)</f>
        <v>0</v>
      </c>
      <c r="D17" s="32">
        <f>SUM(D10:D16)</f>
        <v>0</v>
      </c>
      <c r="E17" s="32">
        <f>SUM(E10:E16)</f>
        <v>0</v>
      </c>
      <c r="F17" s="32">
        <f>SUM(F10:F16)</f>
        <v>0</v>
      </c>
      <c r="G17" s="32">
        <f>SUM(D17:F17)</f>
        <v>0</v>
      </c>
      <c r="H17" s="33">
        <f>SUM(H10:H16)</f>
        <v>0</v>
      </c>
      <c r="P17" s="8"/>
    </row>
    <row r="18" spans="1:17">
      <c r="A18" s="30"/>
      <c r="D18" s="34"/>
      <c r="E18" s="34"/>
    </row>
    <row r="19" spans="1:17">
      <c r="A19" s="35" t="s">
        <v>40</v>
      </c>
      <c r="B19" s="36"/>
    </row>
    <row r="20" spans="1:17">
      <c r="A20" s="37" t="s">
        <v>7</v>
      </c>
      <c r="B20" s="37" t="s">
        <v>6</v>
      </c>
      <c r="C20" s="37" t="s">
        <v>9</v>
      </c>
      <c r="D20" s="37" t="s">
        <v>25</v>
      </c>
      <c r="E20" s="24" t="s">
        <v>32</v>
      </c>
      <c r="F20" s="24" t="s">
        <v>10</v>
      </c>
      <c r="G20" s="40" t="s">
        <v>21</v>
      </c>
      <c r="H20" s="43"/>
      <c r="I20" s="43"/>
      <c r="J20" s="38"/>
      <c r="K20" s="39"/>
      <c r="M20" s="8"/>
      <c r="N20" s="8"/>
      <c r="O20" s="8"/>
      <c r="P20" s="8"/>
    </row>
    <row r="21" spans="1:17">
      <c r="A21" s="37"/>
      <c r="B21" s="37"/>
      <c r="C21" s="37"/>
      <c r="D21" s="37"/>
      <c r="E21" s="24"/>
      <c r="F21" s="24"/>
      <c r="G21" s="40"/>
      <c r="H21" s="43"/>
      <c r="I21" s="43"/>
      <c r="J21" s="38"/>
      <c r="K21" s="39"/>
      <c r="M21" s="8"/>
      <c r="N21" s="8"/>
      <c r="O21" s="8"/>
      <c r="P21" s="8"/>
    </row>
    <row r="22" spans="1:17">
      <c r="A22" s="37"/>
      <c r="B22" s="37"/>
      <c r="C22" s="37"/>
      <c r="D22" s="37"/>
      <c r="E22" s="24"/>
      <c r="F22" s="24"/>
      <c r="G22" s="40"/>
      <c r="H22" s="43"/>
      <c r="I22" s="43"/>
      <c r="J22" s="38"/>
      <c r="K22" s="39"/>
      <c r="M22" s="8"/>
      <c r="N22" s="8"/>
      <c r="O22" s="8"/>
      <c r="P22" s="8"/>
    </row>
    <row r="23" spans="1:17">
      <c r="A23" s="77"/>
      <c r="B23" s="67"/>
      <c r="C23" s="70"/>
      <c r="D23" s="78"/>
      <c r="E23" s="71"/>
      <c r="F23" s="71"/>
      <c r="G23" s="79"/>
      <c r="H23" s="95"/>
      <c r="I23" s="95"/>
      <c r="J23" s="72"/>
      <c r="K23" s="43"/>
      <c r="L23" s="43"/>
      <c r="M23" s="49"/>
      <c r="N23" s="50"/>
      <c r="O23" s="51"/>
      <c r="P23" s="50"/>
      <c r="Q23" s="5"/>
    </row>
    <row r="24" spans="1:17" s="66" customFormat="1">
      <c r="A24" s="42"/>
      <c r="B24" s="67"/>
      <c r="C24" s="83"/>
      <c r="D24" s="76"/>
      <c r="E24" s="71"/>
      <c r="F24" s="84"/>
      <c r="G24" s="42"/>
      <c r="H24" s="96"/>
      <c r="I24" s="96"/>
      <c r="J24" s="72"/>
    </row>
    <row r="25" spans="1:17">
      <c r="A25" s="30"/>
      <c r="B25" s="31" t="s">
        <v>2</v>
      </c>
      <c r="C25" s="43"/>
      <c r="D25" s="43"/>
      <c r="E25" s="39"/>
      <c r="F25" s="81">
        <f>SUM(F23:F24)</f>
        <v>0</v>
      </c>
      <c r="G25" s="43"/>
      <c r="H25" s="43"/>
      <c r="I25" s="38"/>
      <c r="J25" s="44"/>
      <c r="L25" s="38"/>
      <c r="M25" s="38"/>
      <c r="N25" s="38"/>
      <c r="O25" s="38"/>
      <c r="P25" s="38"/>
    </row>
    <row r="26" spans="1:17">
      <c r="B26" s="30"/>
      <c r="C26" s="43"/>
      <c r="E26" s="44"/>
      <c r="F26" s="44"/>
      <c r="G26" s="43"/>
      <c r="L26" s="44"/>
      <c r="N26" s="8"/>
      <c r="O26" s="8"/>
      <c r="P26" s="8"/>
    </row>
    <row r="27" spans="1:17">
      <c r="A27" s="94" t="s">
        <v>39</v>
      </c>
      <c r="B27" s="45"/>
      <c r="C27" s="46"/>
      <c r="D27" s="46"/>
      <c r="E27" s="46"/>
      <c r="F27" s="47"/>
      <c r="G27" s="41"/>
      <c r="H27" s="48"/>
      <c r="I27" s="43"/>
      <c r="J27" s="43"/>
      <c r="K27" s="43"/>
      <c r="M27" s="44"/>
      <c r="O27" s="8"/>
      <c r="P27" s="8"/>
    </row>
    <row r="28" spans="1:17">
      <c r="A28" s="40" t="s">
        <v>11</v>
      </c>
      <c r="B28" s="40" t="s">
        <v>0</v>
      </c>
      <c r="C28" s="23" t="s">
        <v>9</v>
      </c>
      <c r="D28" s="37" t="s">
        <v>25</v>
      </c>
      <c r="E28" s="24" t="s">
        <v>32</v>
      </c>
      <c r="F28" s="25" t="s">
        <v>12</v>
      </c>
      <c r="G28" s="40" t="s">
        <v>21</v>
      </c>
      <c r="H28" s="48"/>
      <c r="I28" s="48"/>
      <c r="J28" s="43"/>
      <c r="K28" s="43"/>
      <c r="L28" s="43"/>
      <c r="M28" s="49"/>
      <c r="N28" s="50"/>
      <c r="O28" s="51"/>
      <c r="P28" s="50"/>
      <c r="Q28" s="5"/>
    </row>
    <row r="29" spans="1:17">
      <c r="A29" s="42"/>
      <c r="B29" s="67"/>
      <c r="C29" s="70"/>
      <c r="D29" s="76"/>
      <c r="E29" s="71"/>
      <c r="F29" s="71"/>
      <c r="G29" s="42"/>
      <c r="H29" s="72"/>
      <c r="I29" s="72"/>
      <c r="J29" s="43"/>
      <c r="K29" s="43"/>
      <c r="L29" s="43"/>
      <c r="M29" s="49"/>
      <c r="N29" s="50"/>
      <c r="O29" s="51"/>
      <c r="P29" s="50"/>
      <c r="Q29" s="5"/>
    </row>
    <row r="30" spans="1:17">
      <c r="A30" s="42"/>
      <c r="B30" s="68"/>
      <c r="C30" s="69"/>
      <c r="D30" s="76"/>
      <c r="E30" s="71"/>
      <c r="F30" s="71"/>
      <c r="G30" s="40"/>
      <c r="H30" s="72"/>
      <c r="I30" s="72"/>
      <c r="J30" s="72"/>
      <c r="K30" s="43"/>
      <c r="L30" s="43"/>
      <c r="M30" s="49"/>
      <c r="N30" s="50"/>
      <c r="O30" s="51"/>
      <c r="P30" s="50"/>
      <c r="Q30" s="5"/>
    </row>
    <row r="31" spans="1:17">
      <c r="A31" s="42"/>
      <c r="B31" s="67"/>
      <c r="C31" s="70"/>
      <c r="D31" s="76"/>
      <c r="E31" s="71"/>
      <c r="F31" s="71"/>
      <c r="G31" s="40"/>
      <c r="H31" s="72"/>
      <c r="I31" s="72"/>
      <c r="J31" s="43"/>
      <c r="K31" s="43"/>
      <c r="L31" s="43"/>
      <c r="M31" s="49"/>
      <c r="N31" s="50"/>
      <c r="O31" s="51"/>
      <c r="P31" s="50"/>
      <c r="Q31" s="5"/>
    </row>
    <row r="32" spans="1:17">
      <c r="A32" s="40"/>
      <c r="B32" s="67"/>
      <c r="C32" s="70"/>
      <c r="D32" s="76"/>
      <c r="E32" s="71"/>
      <c r="F32" s="71"/>
      <c r="G32" s="40"/>
      <c r="H32" s="72"/>
      <c r="I32" s="72"/>
      <c r="J32" s="43"/>
      <c r="K32" s="43"/>
      <c r="L32" s="43"/>
      <c r="M32" s="49"/>
      <c r="N32" s="50"/>
      <c r="O32" s="51"/>
      <c r="P32" s="50"/>
      <c r="Q32" s="5"/>
    </row>
    <row r="33" spans="1:17">
      <c r="A33" s="40"/>
      <c r="B33" s="67"/>
      <c r="C33" s="70"/>
      <c r="D33" s="76"/>
      <c r="E33" s="71"/>
      <c r="F33" s="71"/>
      <c r="G33" s="40"/>
      <c r="H33" s="72"/>
      <c r="I33" s="72"/>
      <c r="J33" s="43"/>
      <c r="K33" s="43"/>
      <c r="L33" s="43"/>
      <c r="M33" s="49"/>
      <c r="N33" s="50"/>
      <c r="O33" s="51"/>
      <c r="P33" s="50"/>
      <c r="Q33" s="5"/>
    </row>
    <row r="34" spans="1:17">
      <c r="A34" s="52"/>
      <c r="B34" s="53" t="s">
        <v>2</v>
      </c>
      <c r="C34" s="54"/>
      <c r="D34" s="55"/>
      <c r="F34" s="56">
        <f>SUM(F29:F33)</f>
        <v>0</v>
      </c>
      <c r="G34" s="55"/>
      <c r="H34" s="41"/>
      <c r="I34" s="43"/>
      <c r="J34" s="43"/>
      <c r="K34" s="43"/>
      <c r="L34" s="49"/>
      <c r="M34" s="50"/>
      <c r="N34" s="51"/>
      <c r="O34" s="50"/>
    </row>
    <row r="35" spans="1:17">
      <c r="A35" s="52"/>
      <c r="B35" s="57" t="s">
        <v>5</v>
      </c>
      <c r="F35" s="58">
        <f>B7</f>
        <v>1.5</v>
      </c>
      <c r="G35" s="59" t="str">
        <f>IF(F34&gt;=F35,"OK","NO")</f>
        <v>NO</v>
      </c>
      <c r="H35" s="61"/>
      <c r="I35" s="43"/>
      <c r="J35" s="43"/>
      <c r="K35" s="43"/>
      <c r="P35" s="8"/>
    </row>
    <row r="36" spans="1:17">
      <c r="A36" s="30"/>
      <c r="G36" s="61"/>
      <c r="H36" s="43"/>
      <c r="I36" s="43"/>
      <c r="J36" s="43"/>
      <c r="K36" s="43"/>
      <c r="P36" s="8"/>
    </row>
    <row r="37" spans="1:17">
      <c r="A37" s="30"/>
      <c r="G37" s="60"/>
      <c r="H37" s="43"/>
      <c r="P37" s="8"/>
    </row>
    <row r="38" spans="1:17">
      <c r="A38" s="30"/>
      <c r="G38" s="60"/>
      <c r="H38" s="43"/>
      <c r="P38" s="8"/>
    </row>
    <row r="39" spans="1:17">
      <c r="A39" s="30"/>
      <c r="G39" s="43"/>
      <c r="H39" s="43"/>
      <c r="P39" s="8"/>
    </row>
    <row r="40" spans="1:17">
      <c r="A40" s="30"/>
      <c r="G40" s="51"/>
      <c r="H40" s="43"/>
      <c r="I40" s="43"/>
    </row>
    <row r="41" spans="1:17">
      <c r="G41" s="51"/>
      <c r="H41" s="43"/>
      <c r="I41" s="43"/>
    </row>
    <row r="42" spans="1:17">
      <c r="H42" s="43"/>
      <c r="I42" s="43"/>
    </row>
    <row r="43" spans="1:17">
      <c r="H43" s="43"/>
      <c r="I43" s="43"/>
    </row>
  </sheetData>
  <mergeCells count="2">
    <mergeCell ref="H23:I23"/>
    <mergeCell ref="H24:I24"/>
  </mergeCells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เบิกจ่าย</vt:lpstr>
      <vt:lpstr>วิธีการกรอกข้อมูล</vt:lpstr>
      <vt:lpstr>เบิกจ่าย!Print_Titles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2017-11-15T11:34:03Z</cp:lastPrinted>
  <dcterms:created xsi:type="dcterms:W3CDTF">2010-04-08T03:18:25Z</dcterms:created>
  <dcterms:modified xsi:type="dcterms:W3CDTF">2019-02-05T03:41:47Z</dcterms:modified>
</cp:coreProperties>
</file>